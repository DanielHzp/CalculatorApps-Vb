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l\Documents\VBA EXCEL REFERENCE GUIDE HELP\"/>
    </mc:Choice>
  </mc:AlternateContent>
  <xr:revisionPtr revIDLastSave="0" documentId="13_ncr:1_{2A8F7336-B132-4483-8D4F-D80F8C116ACF}" xr6:coauthVersionLast="47" xr6:coauthVersionMax="47" xr10:uidLastSave="{00000000-0000-0000-0000-000000000000}"/>
  <bookViews>
    <workbookView xWindow="-108" yWindow="-108" windowWidth="23256" windowHeight="12576" tabRatio="459" xr2:uid="{00000000-000D-0000-FFFF-FFFF00000000}"/>
  </bookViews>
  <sheets>
    <sheet name="Main" sheetId="1" r:id="rId1"/>
    <sheet name="Histogram" sheetId="73" r:id="rId2"/>
    <sheet name="Histogram Data" sheetId="2" r:id="rId3"/>
  </sheets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" i="1" l="1"/>
  <c r="O3" i="1"/>
  <c r="A31" i="1"/>
  <c r="A30" i="1"/>
  <c r="H17" i="1"/>
  <c r="J14" i="1" l="1"/>
  <c r="J20" i="1"/>
  <c r="I13" i="1"/>
  <c r="B11" i="1"/>
  <c r="J13" i="1"/>
  <c r="H16" i="1"/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I20" i="1"/>
  <c r="E20" i="1"/>
  <c r="J19" i="1"/>
  <c r="I19" i="1"/>
  <c r="H19" i="1"/>
  <c r="E19" i="1"/>
  <c r="J18" i="1"/>
  <c r="I18" i="1"/>
  <c r="H18" i="1"/>
  <c r="E18" i="1"/>
  <c r="J17" i="1"/>
  <c r="I17" i="1"/>
  <c r="E17" i="1"/>
  <c r="J16" i="1"/>
  <c r="I16" i="1"/>
  <c r="E16" i="1"/>
  <c r="J15" i="1"/>
  <c r="I15" i="1"/>
  <c r="H15" i="1"/>
  <c r="E15" i="1"/>
  <c r="I14" i="1"/>
  <c r="H14" i="1"/>
  <c r="E14" i="1"/>
  <c r="H13" i="1"/>
  <c r="E13" i="1"/>
  <c r="J12" i="1"/>
  <c r="I12" i="1"/>
  <c r="H12" i="1"/>
  <c r="E12" i="1"/>
  <c r="F11" i="1"/>
  <c r="C11" i="1"/>
  <c r="D10" i="1"/>
  <c r="B10" i="1"/>
  <c r="K18" i="1" l="1"/>
  <c r="L18" i="1" s="1"/>
  <c r="K14" i="1"/>
  <c r="L14" i="1" s="1"/>
  <c r="M14" i="1" s="1"/>
  <c r="K21" i="1"/>
  <c r="L21" i="1" s="1"/>
  <c r="M21" i="1" s="1"/>
  <c r="K12" i="1"/>
  <c r="L12" i="1" s="1"/>
  <c r="M12" i="1" s="1"/>
  <c r="K19" i="1"/>
  <c r="L19" i="1" s="1"/>
  <c r="M19" i="1" s="1"/>
  <c r="K17" i="1"/>
  <c r="L17" i="1" s="1"/>
  <c r="M17" i="1" s="1"/>
  <c r="L11" i="1"/>
  <c r="M11" i="1" s="1"/>
  <c r="L10" i="1"/>
  <c r="M10" i="1" s="1"/>
  <c r="N10" i="1" s="1"/>
  <c r="K22" i="1"/>
  <c r="L22" i="1" s="1"/>
  <c r="M22" i="1" s="1"/>
  <c r="K23" i="1"/>
  <c r="L23" i="1" s="1"/>
  <c r="M23" i="1" s="1"/>
  <c r="K24" i="1"/>
  <c r="L24" i="1" s="1"/>
  <c r="M24" i="1" s="1"/>
  <c r="K20" i="1"/>
  <c r="L20" i="1" s="1"/>
  <c r="M20" i="1" s="1"/>
  <c r="K13" i="1"/>
  <c r="L13" i="1" s="1"/>
  <c r="M13" i="1" s="1"/>
  <c r="K15" i="1"/>
  <c r="L15" i="1" s="1"/>
  <c r="M15" i="1" s="1"/>
  <c r="K16" i="1"/>
  <c r="L16" i="1" s="1"/>
  <c r="M18" i="1" l="1"/>
  <c r="M16" i="1"/>
  <c r="N11" i="1"/>
  <c r="N12" i="1" s="1"/>
  <c r="N13" i="1" s="1"/>
  <c r="N14" i="1" s="1"/>
  <c r="N15" i="1" s="1"/>
  <c r="N16" i="1" l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<sst xmlns="http://schemas.openxmlformats.org/spreadsheetml/2006/main" count="28" uniqueCount="25">
  <si>
    <t>PROFITABILITY ANALYSIS - MONTE CARLO SIMULATION</t>
  </si>
  <si>
    <t>C_land</t>
  </si>
  <si>
    <t>S</t>
  </si>
  <si>
    <t>C</t>
  </si>
  <si>
    <t>Tax:</t>
  </si>
  <si>
    <t>TDC</t>
  </si>
  <si>
    <t>WC</t>
  </si>
  <si>
    <t>*IMPORTANT: DON'T CHANGE ANYTHING ON THIS SHEET ACCEPT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</si>
  <si>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</si>
  <si>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</si>
  <si>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</si>
  <si>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</si>
  <si>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</si>
  <si>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</si>
  <si>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</si>
  <si>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</si>
  <si>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</si>
  <si>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</si>
  <si>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</si>
  <si>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</si>
  <si>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Interests</t>
  </si>
  <si>
    <t>Cost of Land</t>
  </si>
  <si>
    <t>Cost of Royalties</t>
  </si>
  <si>
    <t>Working Capitak</t>
  </si>
  <si>
    <t>Startup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</si>
</sst>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2" fontId="0" fillId="2" borderId="1" xfId="0" applyNumberFormat="1" applyFill="1" applyBorder="1"/>
    <xf numFmtId="2" fontId="0" fillId="2" borderId="2" xfId="0" applyNumberFormat="1" applyFill="1" applyBorder="1"/>
    <xf numFmtId="0" fontId="0" fillId="2" borderId="3" xfId="0" applyFill="1" applyBorder="1"/>
    <xf numFmtId="165" fontId="0" fillId="2" borderId="2" xfId="0" applyNumberFormat="1" applyFill="1" applyBorder="1"/>
    <xf numFmtId="10" fontId="0" fillId="0" borderId="0" xfId="2" applyNumberFormat="1" applyFont="1"/>
    <xf numFmtId="165" fontId="0" fillId="2" borderId="3" xfId="0" applyNumberFormat="1" applyFill="1" applyBorder="1"/>
    <xf numFmtId="165" fontId="0" fillId="2" borderId="1" xfId="0" applyNumberFormat="1" applyFill="1" applyBorder="1"/>
    <xf numFmtId="0" fontId="0" fillId="2" borderId="3" xfId="2" applyNumberFormat="1" applyFont="1" applyFill="1" applyBorder="1"/>
    <xf numFmtId="0" fontId="0" fillId="0" borderId="4" xfId="0" applyBorder="1"/>
    <xf numFmtId="2" fontId="0" fillId="0" borderId="4" xfId="0" applyNumberFormat="1" applyBorder="1"/>
    <xf numFmtId="2" fontId="0" fillId="3" borderId="4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-11550</c:v>
                </c:pt>
                <c:pt idx="1">
                  <c:v>-11250</c:v>
                </c:pt>
                <c:pt idx="2">
                  <c:v>-10950</c:v>
                </c:pt>
                <c:pt idx="3">
                  <c:v>-10650</c:v>
                </c:pt>
                <c:pt idx="4">
                  <c:v>-10350</c:v>
                </c:pt>
                <c:pt idx="5">
                  <c:v>-10050</c:v>
                </c:pt>
                <c:pt idx="6">
                  <c:v>-9750</c:v>
                </c:pt>
                <c:pt idx="7">
                  <c:v>-9450</c:v>
                </c:pt>
                <c:pt idx="8">
                  <c:v>-9150</c:v>
                </c:pt>
                <c:pt idx="9">
                  <c:v>-8850</c:v>
                </c:pt>
                <c:pt idx="10">
                  <c:v>-8550</c:v>
                </c:pt>
                <c:pt idx="11">
                  <c:v>-8250</c:v>
                </c:pt>
                <c:pt idx="12">
                  <c:v>-7950</c:v>
                </c:pt>
                <c:pt idx="13">
                  <c:v>-7650</c:v>
                </c:pt>
                <c:pt idx="14">
                  <c:v>-7350</c:v>
                </c:pt>
                <c:pt idx="15">
                  <c:v>-7050</c:v>
                </c:pt>
                <c:pt idx="16">
                  <c:v>-6750</c:v>
                </c:pt>
                <c:pt idx="17">
                  <c:v>-6450</c:v>
                </c:pt>
                <c:pt idx="18">
                  <c:v>-6150</c:v>
                </c:pt>
                <c:pt idx="19">
                  <c:v>-5850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2</c:v>
                </c:pt>
                <c:pt idx="1">
                  <c:v>9</c:v>
                </c:pt>
                <c:pt idx="2">
                  <c:v>4</c:v>
                </c:pt>
                <c:pt idx="3">
                  <c:v>15</c:v>
                </c:pt>
                <c:pt idx="4">
                  <c:v>24</c:v>
                </c:pt>
                <c:pt idx="5">
                  <c:v>32</c:v>
                </c:pt>
                <c:pt idx="6">
                  <c:v>54</c:v>
                </c:pt>
                <c:pt idx="7">
                  <c:v>54</c:v>
                </c:pt>
                <c:pt idx="8">
                  <c:v>58</c:v>
                </c:pt>
                <c:pt idx="9">
                  <c:v>88</c:v>
                </c:pt>
                <c:pt idx="10">
                  <c:v>100</c:v>
                </c:pt>
                <c:pt idx="11">
                  <c:v>108</c:v>
                </c:pt>
                <c:pt idx="12">
                  <c:v>111</c:v>
                </c:pt>
                <c:pt idx="13">
                  <c:v>97</c:v>
                </c:pt>
                <c:pt idx="14">
                  <c:v>83</c:v>
                </c:pt>
                <c:pt idx="15">
                  <c:v>67</c:v>
                </c:pt>
                <c:pt idx="16">
                  <c:v>33</c:v>
                </c:pt>
                <c:pt idx="17">
                  <c:v>37</c:v>
                </c:pt>
                <c:pt idx="18">
                  <c:v>17</c:v>
                </c:pt>
                <c:pt idx="1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14-412D-AB50-F1A8E1B07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1045583"/>
        <c:axId val="520735759"/>
      </c:barChart>
      <c:catAx>
        <c:axId val="1541045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20735759"/>
        <c:crosses val="autoZero"/>
        <c:auto val="1"/>
        <c:lblAlgn val="ctr"/>
        <c:lblOffset val="100"/>
        <c:noMultiLvlLbl val="0"/>
      </c:catAx>
      <c:valAx>
        <c:axId val="52073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4104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B047C6-5063-483B-A25C-EC8A51C6CFD3}">
  <sheetPr codeName="Chart2"/>
  <sheetViews>
    <sheetView zoomScale="9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160020</xdr:colOff>
          <xdr:row>26</xdr:row>
          <xdr:rowOff>0</xdr:rowOff>
        </xdr:from>
        <xdr:to>
          <xdr:col>8</xdr:col>
          <xdr:colOff>480060</xdr:colOff>
          <xdr:row>29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5688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3E8575-8862-EDB2-E8D9-5B156F729C0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1"/>
  <sheetViews>
    <sheetView showGridLines="0" tabSelected="1" zoomScale="80" zoomScaleNormal="80" workbookViewId="0">
      <selection activeCell="N31" sqref="N31"/>
    </sheetView>
  </sheetViews>
  <sheetFormatPr defaultRowHeight="14.4" x14ac:dyDescent="0.3"/>
  <cols>
    <col min="1" max="1" width="19.109375" bestFit="1" customWidth="1"/>
    <col min="2" max="2" width="11.77734375" bestFit="1" customWidth="1"/>
    <col min="3" max="3" width="13.109375" customWidth="1"/>
    <col min="4" max="4" width="9.77734375" bestFit="1" customWidth="1"/>
    <col min="5" max="5" width="10.44140625" bestFit="1" customWidth="1"/>
    <col min="6" max="6" width="10.77734375" customWidth="1"/>
    <col min="7" max="7" width="11.88671875" bestFit="1" customWidth="1"/>
    <col min="8" max="8" width="11" customWidth="1"/>
    <col min="9" max="9" width="9.21875" bestFit="1" customWidth="1"/>
    <col min="10" max="10" width="9.109375" bestFit="1" customWidth="1"/>
    <col min="19" max="19" width="12" bestFit="1" customWidth="1"/>
  </cols>
  <sheetData>
    <row r="1" spans="1:16" x14ac:dyDescent="0.3">
      <c r="A1" t="s">
        <v>0</v>
      </c>
    </row>
    <row r="2" spans="1:16" ht="15" thickBot="1" x14ac:dyDescent="0.35">
      <c r="O2">
        <f>+-5+(-10-(-5))*0.7</f>
        <v>-8.5</v>
      </c>
    </row>
    <row r="3" spans="1:16" x14ac:dyDescent="0.3">
      <c r="A3" t="s">
        <v>21</v>
      </c>
      <c r="B3" s="4">
        <v>-20</v>
      </c>
      <c r="D3" t="s">
        <v>2</v>
      </c>
      <c r="E3" s="10">
        <v>44.903878649866407</v>
      </c>
      <c r="G3" t="s">
        <v>3</v>
      </c>
      <c r="H3" s="4">
        <v>-8</v>
      </c>
      <c r="O3">
        <f>5+(10-5)*0.7</f>
        <v>8.5</v>
      </c>
    </row>
    <row r="4" spans="1:16" ht="15" thickBot="1" x14ac:dyDescent="0.35">
      <c r="A4" t="s">
        <v>22</v>
      </c>
      <c r="B4" s="5">
        <v>-14.883327481794419</v>
      </c>
      <c r="D4" t="s">
        <v>4</v>
      </c>
      <c r="E4" s="6">
        <v>40</v>
      </c>
      <c r="G4" t="s">
        <v>20</v>
      </c>
      <c r="H4" s="11">
        <v>0.14493012428283691</v>
      </c>
    </row>
    <row r="5" spans="1:16" x14ac:dyDescent="0.3">
      <c r="A5" t="s">
        <v>5</v>
      </c>
      <c r="B5" s="7">
        <v>-46.474984766779947</v>
      </c>
    </row>
    <row r="6" spans="1:16" x14ac:dyDescent="0.3">
      <c r="A6" t="s">
        <v>23</v>
      </c>
      <c r="B6" s="7">
        <v>-18.691915810108185</v>
      </c>
      <c r="E6" t="s">
        <v>7</v>
      </c>
    </row>
    <row r="7" spans="1:16" ht="15" thickBot="1" x14ac:dyDescent="0.35">
      <c r="A7" t="s">
        <v>24</v>
      </c>
      <c r="B7" s="9">
        <v>-10.254655190664119</v>
      </c>
      <c r="E7" t="s">
        <v>8</v>
      </c>
    </row>
    <row r="8" spans="1:16" x14ac:dyDescent="0.3">
      <c r="M8" t="s">
        <v>9</v>
      </c>
    </row>
    <row r="9" spans="1:16" x14ac:dyDescent="0.3">
      <c r="A9" s="12" t="s">
        <v>10</v>
      </c>
      <c r="B9" s="12" t="s">
        <v>5</v>
      </c>
      <c r="C9" s="12" t="s">
        <v>6</v>
      </c>
      <c r="D9" s="12" t="s">
        <v>1</v>
      </c>
      <c r="E9" s="12" t="s">
        <v>11</v>
      </c>
      <c r="F9" s="12" t="s">
        <v>12</v>
      </c>
      <c r="G9" s="12" t="s">
        <v>13</v>
      </c>
      <c r="H9" s="12" t="s">
        <v>14</v>
      </c>
      <c r="I9" s="12" t="s">
        <v>2</v>
      </c>
      <c r="J9" s="12" t="s">
        <v>3</v>
      </c>
      <c r="K9" s="12" t="s">
        <v>15</v>
      </c>
      <c r="L9" s="12" t="s">
        <v>16</v>
      </c>
      <c r="M9" s="12" t="s">
        <v>17</v>
      </c>
      <c r="N9" s="12" t="s">
        <v>18</v>
      </c>
      <c r="P9" t="s">
        <v>19</v>
      </c>
    </row>
    <row r="10" spans="1:16" x14ac:dyDescent="0.3">
      <c r="A10" s="12">
        <v>1</v>
      </c>
      <c r="B10" s="13">
        <f>0.5*CTDC</f>
        <v>-23.237492383389974</v>
      </c>
      <c r="C10" s="13"/>
      <c r="D10" s="13">
        <f>Cland</f>
        <v>-20</v>
      </c>
      <c r="E10" s="13"/>
      <c r="F10" s="13"/>
      <c r="G10" s="13"/>
      <c r="H10" s="13"/>
      <c r="I10" s="13"/>
      <c r="J10" s="13"/>
      <c r="K10" s="12"/>
      <c r="L10" s="13">
        <f>B10+D10</f>
        <v>-43.237492383389977</v>
      </c>
      <c r="M10" s="13">
        <f>L10/(1+i)^(A10-1)</f>
        <v>-43.237492383389977</v>
      </c>
      <c r="N10" s="13">
        <f>M10</f>
        <v>-43.237492383389977</v>
      </c>
    </row>
    <row r="11" spans="1:16" x14ac:dyDescent="0.3">
      <c r="A11" s="12">
        <v>2</v>
      </c>
      <c r="B11" s="13">
        <f>0.5*CTDC</f>
        <v>-23.237492383389974</v>
      </c>
      <c r="C11" s="13">
        <f>WC</f>
        <v>-18.691915810108185</v>
      </c>
      <c r="D11" s="13"/>
      <c r="E11" s="13"/>
      <c r="F11" s="13">
        <f>Cstart</f>
        <v>-10.254655190664119</v>
      </c>
      <c r="G11" s="13"/>
      <c r="H11" s="13"/>
      <c r="I11" s="13"/>
      <c r="J11" s="13"/>
      <c r="K11" s="12"/>
      <c r="L11" s="13">
        <f>B11+C11+F11</f>
        <v>-52.184063384162279</v>
      </c>
      <c r="M11" s="13">
        <f t="shared" ref="M11:M24" si="0">L11/(1+i)^(A11-1)</f>
        <v>-45.578382712961989</v>
      </c>
      <c r="N11" s="13">
        <f>N10+M11</f>
        <v>-88.815875096351959</v>
      </c>
    </row>
    <row r="12" spans="1:16" x14ac:dyDescent="0.3">
      <c r="A12" s="12">
        <v>3</v>
      </c>
      <c r="B12" s="13"/>
      <c r="C12" s="13"/>
      <c r="D12" s="13"/>
      <c r="E12" s="13">
        <f t="shared" ref="E12:E24" si="1">Croyal</f>
        <v>-14.883327481794419</v>
      </c>
      <c r="F12" s="13"/>
      <c r="G12" s="13"/>
      <c r="H12" s="13">
        <f>P12*-CTDC</f>
        <v>6.6412753231728541</v>
      </c>
      <c r="I12" s="13">
        <f>0.5*S</f>
        <v>22.451939324933203</v>
      </c>
      <c r="J12" s="13">
        <f>0.5*COS</f>
        <v>-4</v>
      </c>
      <c r="K12" s="13">
        <f>(1-tax)*(I12-J12-H12)</f>
        <v>-772.61589606865368</v>
      </c>
      <c r="L12" s="13">
        <f t="shared" ref="L12:L23" si="2">K12+H12+E12</f>
        <v>-780.85794822727519</v>
      </c>
      <c r="M12" s="13">
        <f t="shared" si="0"/>
        <v>-595.68144277839519</v>
      </c>
      <c r="N12" s="13">
        <f t="shared" ref="N12:N23" si="3">N11+M12</f>
        <v>-684.49731787474718</v>
      </c>
      <c r="P12" s="8">
        <v>0.1429</v>
      </c>
    </row>
    <row r="13" spans="1:16" x14ac:dyDescent="0.3">
      <c r="A13" s="12">
        <v>4</v>
      </c>
      <c r="B13" s="13"/>
      <c r="C13" s="13"/>
      <c r="D13" s="13"/>
      <c r="E13" s="13">
        <f t="shared" si="1"/>
        <v>-14.883327481794419</v>
      </c>
      <c r="F13" s="13"/>
      <c r="G13" s="13"/>
      <c r="H13" s="13">
        <f t="shared" ref="H13:H19" si="4">P13*-CTDC</f>
        <v>11.38172376938441</v>
      </c>
      <c r="I13" s="13">
        <f>0.8*S</f>
        <v>35.923102919893125</v>
      </c>
      <c r="J13" s="13">
        <f>0.8*COS</f>
        <v>-6.4</v>
      </c>
      <c r="K13" s="13">
        <f t="shared" ref="K13:K24" si="5">(1-tax)*(I13-J13-H13)</f>
        <v>-1206.7137868698399</v>
      </c>
      <c r="L13" s="13">
        <f t="shared" si="2"/>
        <v>-1210.2153905822497</v>
      </c>
      <c r="M13" s="13">
        <f t="shared" si="0"/>
        <v>-806.35396331507889</v>
      </c>
      <c r="N13" s="13">
        <f t="shared" si="3"/>
        <v>-1490.8512811898261</v>
      </c>
      <c r="P13" s="8">
        <v>0.24490000000000001</v>
      </c>
    </row>
    <row r="14" spans="1:16" x14ac:dyDescent="0.3">
      <c r="A14" s="12">
        <v>5</v>
      </c>
      <c r="B14" s="13"/>
      <c r="C14" s="13"/>
      <c r="D14" s="13"/>
      <c r="E14" s="13">
        <f t="shared" si="1"/>
        <v>-14.883327481794419</v>
      </c>
      <c r="F14" s="13"/>
      <c r="G14" s="13"/>
      <c r="H14" s="13">
        <f t="shared" si="4"/>
        <v>8.1284748357098131</v>
      </c>
      <c r="I14" s="13">
        <f t="shared" ref="I14:I24" si="6">S</f>
        <v>44.903878649866407</v>
      </c>
      <c r="J14" s="13">
        <f>COS</f>
        <v>-8</v>
      </c>
      <c r="K14" s="13">
        <f>(1-tax)*(I14-J14-H14)</f>
        <v>-1746.240748752107</v>
      </c>
      <c r="L14" s="13">
        <f t="shared" si="2"/>
        <v>-1752.9956013981916</v>
      </c>
      <c r="M14" s="13">
        <f t="shared" si="0"/>
        <v>-1020.1520282397087</v>
      </c>
      <c r="N14" s="13">
        <f t="shared" si="3"/>
        <v>-2511.003309429535</v>
      </c>
      <c r="P14" s="8">
        <v>0.1749</v>
      </c>
    </row>
    <row r="15" spans="1:16" x14ac:dyDescent="0.3">
      <c r="A15" s="12">
        <v>6</v>
      </c>
      <c r="B15" s="13"/>
      <c r="C15" s="13"/>
      <c r="D15" s="13"/>
      <c r="E15" s="13">
        <f t="shared" si="1"/>
        <v>-14.883327481794419</v>
      </c>
      <c r="F15" s="13"/>
      <c r="G15" s="13"/>
      <c r="H15" s="13">
        <f t="shared" si="4"/>
        <v>5.8047255973708154</v>
      </c>
      <c r="I15" s="13">
        <f t="shared" si="6"/>
        <v>44.903878649866407</v>
      </c>
      <c r="J15" s="13">
        <f t="shared" ref="J15:J24" si="7">COS</f>
        <v>-8</v>
      </c>
      <c r="K15" s="13">
        <f t="shared" si="5"/>
        <v>-1836.8669690473282</v>
      </c>
      <c r="L15" s="13">
        <f>K15+H15+E15</f>
        <v>-1845.9455709317517</v>
      </c>
      <c r="M15" s="13">
        <f>L15/(1+i)^(A15-1)</f>
        <v>-938.26168143540451</v>
      </c>
      <c r="N15" s="13">
        <f t="shared" si="3"/>
        <v>-3449.2649908649396</v>
      </c>
      <c r="P15" s="8">
        <v>0.1249</v>
      </c>
    </row>
    <row r="16" spans="1:16" x14ac:dyDescent="0.3">
      <c r="A16" s="12">
        <v>7</v>
      </c>
      <c r="B16" s="13"/>
      <c r="C16" s="13"/>
      <c r="D16" s="13"/>
      <c r="E16" s="13">
        <f t="shared" si="1"/>
        <v>-14.883327481794419</v>
      </c>
      <c r="F16" s="13"/>
      <c r="G16" s="13"/>
      <c r="H16" s="13">
        <f>P16*-CTDC</f>
        <v>4.1502161396734492</v>
      </c>
      <c r="I16" s="13">
        <f t="shared" si="6"/>
        <v>44.903878649866407</v>
      </c>
      <c r="J16" s="13">
        <f t="shared" si="7"/>
        <v>-8</v>
      </c>
      <c r="K16" s="13">
        <f t="shared" si="5"/>
        <v>-1901.3928378975254</v>
      </c>
      <c r="L16" s="13">
        <f>K16+H16+E16</f>
        <v>-1912.1259492396464</v>
      </c>
      <c r="M16" s="13">
        <f t="shared" si="0"/>
        <v>-848.87276842982828</v>
      </c>
      <c r="N16" s="13">
        <f t="shared" si="3"/>
        <v>-4298.1377592947683</v>
      </c>
      <c r="P16" s="8">
        <v>8.9300000000000004E-2</v>
      </c>
    </row>
    <row r="17" spans="1:16" x14ac:dyDescent="0.3">
      <c r="A17" s="12">
        <v>8</v>
      </c>
      <c r="B17" s="13"/>
      <c r="C17" s="13"/>
      <c r="D17" s="13"/>
      <c r="E17" s="13">
        <f t="shared" si="1"/>
        <v>-14.883327481794419</v>
      </c>
      <c r="F17" s="13"/>
      <c r="G17" s="13"/>
      <c r="H17" s="13">
        <f>P17*-CTDC</f>
        <v>4.1455686411967712</v>
      </c>
      <c r="I17" s="13">
        <f t="shared" si="6"/>
        <v>44.903878649866407</v>
      </c>
      <c r="J17" s="13">
        <f t="shared" si="7"/>
        <v>-8</v>
      </c>
      <c r="K17" s="13">
        <f>(1-tax)*(I17-J17-H17)</f>
        <v>-1901.5740903381159</v>
      </c>
      <c r="L17" s="13">
        <f>K17+H17+E17</f>
        <v>-1912.3118491787134</v>
      </c>
      <c r="M17" s="13">
        <f t="shared" si="0"/>
        <v>-741.49092524582545</v>
      </c>
      <c r="N17" s="13">
        <f t="shared" si="3"/>
        <v>-5039.6286845405939</v>
      </c>
      <c r="P17" s="8">
        <v>8.9200000000000002E-2</v>
      </c>
    </row>
    <row r="18" spans="1:16" x14ac:dyDescent="0.3">
      <c r="A18" s="12">
        <v>9</v>
      </c>
      <c r="B18" s="13"/>
      <c r="C18" s="13"/>
      <c r="D18" s="13"/>
      <c r="E18" s="13">
        <f t="shared" si="1"/>
        <v>-14.883327481794419</v>
      </c>
      <c r="F18" s="13"/>
      <c r="G18" s="13"/>
      <c r="H18" s="13">
        <f t="shared" si="4"/>
        <v>4.1502161396734492</v>
      </c>
      <c r="I18" s="13">
        <f t="shared" si="6"/>
        <v>44.903878649866407</v>
      </c>
      <c r="J18" s="13">
        <f t="shared" si="7"/>
        <v>-8</v>
      </c>
      <c r="K18" s="13">
        <f>(1-tax)*(I18-J18-H18)</f>
        <v>-1901.3928378975254</v>
      </c>
      <c r="L18" s="13">
        <f>K18+H18+E18</f>
        <v>-1912.1259492396464</v>
      </c>
      <c r="M18" s="13">
        <f t="shared" si="0"/>
        <v>-647.56689303288601</v>
      </c>
      <c r="N18" s="13">
        <f t="shared" si="3"/>
        <v>-5687.1955775734796</v>
      </c>
      <c r="P18" s="8">
        <v>8.9300000000000004E-2</v>
      </c>
    </row>
    <row r="19" spans="1:16" x14ac:dyDescent="0.3">
      <c r="A19" s="12">
        <v>10</v>
      </c>
      <c r="B19" s="13"/>
      <c r="C19" s="13"/>
      <c r="D19" s="13"/>
      <c r="E19" s="13">
        <f t="shared" si="1"/>
        <v>-14.883327481794419</v>
      </c>
      <c r="F19" s="13"/>
      <c r="G19" s="13"/>
      <c r="H19" s="13">
        <f t="shared" si="4"/>
        <v>2.0727843205983856</v>
      </c>
      <c r="I19" s="13">
        <f t="shared" si="6"/>
        <v>44.903878649866407</v>
      </c>
      <c r="J19" s="13">
        <f t="shared" si="7"/>
        <v>-8</v>
      </c>
      <c r="K19" s="13">
        <f>(1-tax)*(I19-J19-H19)</f>
        <v>-1982.4126788414528</v>
      </c>
      <c r="L19" s="13">
        <f>K19+H19+E19</f>
        <v>-1995.2232220026488</v>
      </c>
      <c r="M19" s="13">
        <f>L19/(1+i)^(A19-1)</f>
        <v>-590.17478508939917</v>
      </c>
      <c r="N19" s="13">
        <f>N18+M19</f>
        <v>-6277.3703626628785</v>
      </c>
      <c r="P19" s="8">
        <v>4.4600000000000001E-2</v>
      </c>
    </row>
    <row r="20" spans="1:16" x14ac:dyDescent="0.3">
      <c r="A20" s="12">
        <v>11</v>
      </c>
      <c r="B20" s="13"/>
      <c r="C20" s="13"/>
      <c r="D20" s="13"/>
      <c r="E20" s="13">
        <f t="shared" si="1"/>
        <v>-14.883327481794419</v>
      </c>
      <c r="F20" s="13"/>
      <c r="G20" s="13"/>
      <c r="H20" s="13"/>
      <c r="I20" s="13">
        <f t="shared" si="6"/>
        <v>44.903878649866407</v>
      </c>
      <c r="J20" s="13">
        <f>COS</f>
        <v>-8</v>
      </c>
      <c r="K20" s="13">
        <f t="shared" si="5"/>
        <v>-2063.25126734479</v>
      </c>
      <c r="L20" s="13">
        <f t="shared" si="2"/>
        <v>-2078.1345948265844</v>
      </c>
      <c r="M20" s="13">
        <f>L20/(1+i)^(A20-1)</f>
        <v>-536.88818848922813</v>
      </c>
      <c r="N20" s="13">
        <f>N19+M20</f>
        <v>-6814.2585511521065</v>
      </c>
    </row>
    <row r="21" spans="1:16" x14ac:dyDescent="0.3">
      <c r="A21" s="12">
        <v>12</v>
      </c>
      <c r="B21" s="13"/>
      <c r="C21" s="13"/>
      <c r="D21" s="13"/>
      <c r="E21" s="13">
        <f t="shared" si="1"/>
        <v>-14.883327481794419</v>
      </c>
      <c r="F21" s="13"/>
      <c r="G21" s="13"/>
      <c r="H21" s="13"/>
      <c r="I21" s="13">
        <f t="shared" si="6"/>
        <v>44.903878649866407</v>
      </c>
      <c r="J21" s="13">
        <f t="shared" si="7"/>
        <v>-8</v>
      </c>
      <c r="K21" s="13">
        <f>(1-tax)*(I21-J21-H21)</f>
        <v>-2063.25126734479</v>
      </c>
      <c r="L21" s="13">
        <f t="shared" si="2"/>
        <v>-2078.1345948265844</v>
      </c>
      <c r="M21" s="13">
        <f t="shared" si="0"/>
        <v>-468.92659831579238</v>
      </c>
      <c r="N21" s="13">
        <f t="shared" si="3"/>
        <v>-7283.1851494678986</v>
      </c>
    </row>
    <row r="22" spans="1:16" x14ac:dyDescent="0.3">
      <c r="A22" s="12">
        <v>13</v>
      </c>
      <c r="B22" s="13"/>
      <c r="C22" s="13"/>
      <c r="D22" s="13"/>
      <c r="E22" s="13">
        <f t="shared" si="1"/>
        <v>-14.883327481794419</v>
      </c>
      <c r="F22" s="13"/>
      <c r="G22" s="13"/>
      <c r="H22" s="13"/>
      <c r="I22" s="13">
        <f t="shared" si="6"/>
        <v>44.903878649866407</v>
      </c>
      <c r="J22" s="13">
        <f t="shared" si="7"/>
        <v>-8</v>
      </c>
      <c r="K22" s="13">
        <f t="shared" si="5"/>
        <v>-2063.25126734479</v>
      </c>
      <c r="L22" s="13">
        <f t="shared" si="2"/>
        <v>-2078.1345948265844</v>
      </c>
      <c r="M22" s="13">
        <f t="shared" si="0"/>
        <v>-409.56787525310273</v>
      </c>
      <c r="N22" s="13">
        <f t="shared" si="3"/>
        <v>-7692.7530247210016</v>
      </c>
    </row>
    <row r="23" spans="1:16" x14ac:dyDescent="0.3">
      <c r="A23" s="12">
        <v>14</v>
      </c>
      <c r="B23" s="13"/>
      <c r="C23" s="13"/>
      <c r="D23" s="13"/>
      <c r="E23" s="13">
        <f t="shared" si="1"/>
        <v>-14.883327481794419</v>
      </c>
      <c r="F23" s="13"/>
      <c r="G23" s="13"/>
      <c r="H23" s="13"/>
      <c r="I23" s="13">
        <f t="shared" si="6"/>
        <v>44.903878649866407</v>
      </c>
      <c r="J23" s="13">
        <f t="shared" si="7"/>
        <v>-8</v>
      </c>
      <c r="K23" s="13">
        <f t="shared" si="5"/>
        <v>-2063.25126734479</v>
      </c>
      <c r="L23" s="13">
        <f t="shared" si="2"/>
        <v>-2078.1345948265844</v>
      </c>
      <c r="M23" s="13">
        <f t="shared" si="0"/>
        <v>-357.72303179606575</v>
      </c>
      <c r="N23" s="13">
        <f t="shared" si="3"/>
        <v>-8050.4760565170673</v>
      </c>
    </row>
    <row r="24" spans="1:16" x14ac:dyDescent="0.3">
      <c r="A24" s="12">
        <v>15</v>
      </c>
      <c r="B24" s="13"/>
      <c r="C24" s="13">
        <f>-WC</f>
        <v>18.691915810108185</v>
      </c>
      <c r="D24" s="13"/>
      <c r="E24" s="13">
        <f t="shared" si="1"/>
        <v>-14.883327481794419</v>
      </c>
      <c r="F24" s="13"/>
      <c r="G24" s="13"/>
      <c r="H24" s="13"/>
      <c r="I24" s="13">
        <f t="shared" si="6"/>
        <v>44.903878649866407</v>
      </c>
      <c r="J24" s="13">
        <f t="shared" si="7"/>
        <v>-8</v>
      </c>
      <c r="K24" s="13">
        <f t="shared" si="5"/>
        <v>-2063.25126734479</v>
      </c>
      <c r="L24" s="13">
        <f>C24+K24+G24+E24</f>
        <v>-2059.4426790164762</v>
      </c>
      <c r="M24" s="13">
        <f t="shared" si="0"/>
        <v>-309.63065899626503</v>
      </c>
      <c r="N24" s="14">
        <f>N23+M24</f>
        <v>-8360.1067155133314</v>
      </c>
    </row>
    <row r="25" spans="1:16" x14ac:dyDescent="0.3">
      <c r="C25" s="3"/>
      <c r="D25" s="2"/>
      <c r="E25" s="1"/>
      <c r="F25" s="2"/>
      <c r="G25" s="1"/>
      <c r="H25" s="1"/>
    </row>
    <row r="26" spans="1:16" x14ac:dyDescent="0.3">
      <c r="C26" s="3"/>
      <c r="D26" s="2"/>
      <c r="E26" s="1"/>
      <c r="F26" s="2"/>
      <c r="G26" s="1"/>
      <c r="H26" s="1"/>
    </row>
    <row r="27" spans="1:16" x14ac:dyDescent="0.3">
      <c r="C27" s="3"/>
      <c r="D27" s="2"/>
      <c r="E27" s="1"/>
      <c r="F27" s="2"/>
      <c r="G27" s="1"/>
      <c r="H27" s="1"/>
    </row>
    <row r="30" spans="1:16" x14ac:dyDescent="0.3">
      <c r="A30">
        <f>+_xlfn.NORM.INV(0.7,-80,10)</f>
        <v>-74.755994872919587</v>
      </c>
    </row>
    <row r="31" spans="1:16" x14ac:dyDescent="0.3">
      <c r="A31">
        <f>-_xlfn.NORM.INV(0.7,80,10)</f>
        <v>-85.244005127080413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Form">
                <anchor moveWithCells="1" sizeWithCells="1">
                  <from>
                    <xdr:col>6</xdr:col>
                    <xdr:colOff>160020</xdr:colOff>
                    <xdr:row>26</xdr:row>
                    <xdr:rowOff>0</xdr:rowOff>
                  </from>
                  <to>
                    <xdr:col>8</xdr:col>
                    <xdr:colOff>480060</xdr:colOff>
                    <xdr:row>29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0"/>
  <sheetViews>
    <sheetView workbookViewId="0">
      <selection sqref="A1:B20"/>
    </sheetView>
  </sheetViews>
  <sheetFormatPr defaultRowHeight="14.4" x14ac:dyDescent="0.3"/>
  <sheetData>
    <row r="1" spans="1:2" x14ac:dyDescent="0.3">
      <c r="A1">
        <v>-11550</v>
      </c>
      <c r="B1">
        <v>2</v>
      </c>
    </row>
    <row r="2" spans="1:2" x14ac:dyDescent="0.3">
      <c r="A2">
        <v>-11250</v>
      </c>
      <c r="B2">
        <v>9</v>
      </c>
    </row>
    <row r="3" spans="1:2" x14ac:dyDescent="0.3">
      <c r="A3">
        <v>-10950</v>
      </c>
      <c r="B3">
        <v>4</v>
      </c>
    </row>
    <row r="4" spans="1:2" x14ac:dyDescent="0.3">
      <c r="A4">
        <v>-10650</v>
      </c>
      <c r="B4">
        <v>15</v>
      </c>
    </row>
    <row r="5" spans="1:2" x14ac:dyDescent="0.3">
      <c r="A5">
        <v>-10350</v>
      </c>
      <c r="B5">
        <v>24</v>
      </c>
    </row>
    <row r="6" spans="1:2" x14ac:dyDescent="0.3">
      <c r="A6">
        <v>-10050</v>
      </c>
      <c r="B6">
        <v>32</v>
      </c>
    </row>
    <row r="7" spans="1:2" x14ac:dyDescent="0.3">
      <c r="A7">
        <v>-9750</v>
      </c>
      <c r="B7">
        <v>54</v>
      </c>
    </row>
    <row r="8" spans="1:2" x14ac:dyDescent="0.3">
      <c r="A8">
        <v>-9450</v>
      </c>
      <c r="B8">
        <v>54</v>
      </c>
    </row>
    <row r="9" spans="1:2" x14ac:dyDescent="0.3">
      <c r="A9">
        <v>-9150</v>
      </c>
      <c r="B9">
        <v>58</v>
      </c>
    </row>
    <row r="10" spans="1:2" x14ac:dyDescent="0.3">
      <c r="A10">
        <v>-8850</v>
      </c>
      <c r="B10">
        <v>88</v>
      </c>
    </row>
    <row r="11" spans="1:2" x14ac:dyDescent="0.3">
      <c r="A11">
        <v>-8550</v>
      </c>
      <c r="B11">
        <v>100</v>
      </c>
    </row>
    <row r="12" spans="1:2" x14ac:dyDescent="0.3">
      <c r="A12">
        <v>-8250</v>
      </c>
      <c r="B12">
        <v>108</v>
      </c>
    </row>
    <row r="13" spans="1:2" x14ac:dyDescent="0.3">
      <c r="A13">
        <v>-7950</v>
      </c>
      <c r="B13">
        <v>111</v>
      </c>
    </row>
    <row r="14" spans="1:2" x14ac:dyDescent="0.3">
      <c r="A14">
        <v>-7650</v>
      </c>
      <c r="B14">
        <v>97</v>
      </c>
    </row>
    <row r="15" spans="1:2" x14ac:dyDescent="0.3">
      <c r="A15">
        <v>-7350</v>
      </c>
      <c r="B15">
        <v>83</v>
      </c>
    </row>
    <row r="16" spans="1:2" x14ac:dyDescent="0.3">
      <c r="A16">
        <v>-7050</v>
      </c>
      <c r="B16">
        <v>67</v>
      </c>
    </row>
    <row r="17" spans="1:2" x14ac:dyDescent="0.3">
      <c r="A17">
        <v>-6750</v>
      </c>
      <c r="B17">
        <v>33</v>
      </c>
    </row>
    <row r="18" spans="1:2" x14ac:dyDescent="0.3">
      <c r="A18">
        <v>-6450</v>
      </c>
      <c r="B18">
        <v>37</v>
      </c>
    </row>
    <row r="19" spans="1:2" x14ac:dyDescent="0.3">
      <c r="A19">
        <v>-6150</v>
      </c>
      <c r="B19">
        <v>17</v>
      </c>
    </row>
    <row r="20" spans="1:2" x14ac:dyDescent="0.3">
      <c r="A20">
        <v>-5850</v>
      </c>
      <c r="B20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Daniel</cp:lastModifiedBy>
  <dcterms:created xsi:type="dcterms:W3CDTF">2013-10-29T18:00:12Z</dcterms:created>
  <dcterms:modified xsi:type="dcterms:W3CDTF">2023-08-13T20:25:11Z</dcterms:modified>
</cp:coreProperties>
</file>